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e88f1d5ded906d/Documents/Uni files/4th year/Skripsie/Final Drawings/"/>
    </mc:Choice>
  </mc:AlternateContent>
  <xr:revisionPtr revIDLastSave="141" documentId="8_{91F973D4-06B2-4AEC-9963-B9E1D6F28BC5}" xr6:coauthVersionLast="47" xr6:coauthVersionMax="47" xr10:uidLastSave="{1A2518BE-C8CA-4FCF-B0A3-4A7109AF1B7E}"/>
  <bookViews>
    <workbookView xWindow="-120" yWindow="-120" windowWidth="29040" windowHeight="15720" xr2:uid="{B8ACD5EE-9FF3-45E1-B5E2-9B922F9DCE8F}"/>
  </bookViews>
  <sheets>
    <sheet name="Drawing Tree" sheetId="1" r:id="rId1"/>
    <sheet name="Printing 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2" l="1"/>
  <c r="D14" i="2"/>
  <c r="B16" i="2" s="1"/>
  <c r="D4" i="2"/>
  <c r="D5" i="2"/>
  <c r="D6" i="2"/>
  <c r="D7" i="2"/>
  <c r="D8" i="2"/>
  <c r="D9" i="2"/>
  <c r="D10" i="2"/>
  <c r="D11" i="2"/>
  <c r="D12" i="2"/>
  <c r="D13" i="2"/>
  <c r="D3" i="2"/>
</calcChain>
</file>

<file path=xl/sharedStrings.xml><?xml version="1.0" encoding="utf-8"?>
<sst xmlns="http://schemas.openxmlformats.org/spreadsheetml/2006/main" count="43" uniqueCount="43">
  <si>
    <t>Drive-train</t>
  </si>
  <si>
    <t>Chassis</t>
  </si>
  <si>
    <t>Wheel Mold</t>
  </si>
  <si>
    <t>Battery bracket</t>
  </si>
  <si>
    <t>Weight lid</t>
  </si>
  <si>
    <t>Center support</t>
  </si>
  <si>
    <t>Cover</t>
  </si>
  <si>
    <t>Side panel</t>
  </si>
  <si>
    <t>Wedge</t>
  </si>
  <si>
    <t>Edge sensor mounts</t>
  </si>
  <si>
    <t>Electronics</t>
  </si>
  <si>
    <t>LSM mount</t>
  </si>
  <si>
    <t>Electronics layer mount</t>
  </si>
  <si>
    <t xml:space="preserve">Mini Sumobot (Jeremy)
S91-00-00 </t>
  </si>
  <si>
    <t xml:space="preserve">S91-01-00 </t>
  </si>
  <si>
    <t xml:space="preserve">S91-02-00 </t>
  </si>
  <si>
    <t xml:space="preserve">S91-03-00 </t>
  </si>
  <si>
    <t xml:space="preserve">S91-04-00 </t>
  </si>
  <si>
    <t>Motor brackets
S91-01-01</t>
  </si>
  <si>
    <t>Battery bracket
S91-02-01</t>
  </si>
  <si>
    <t>Weight lid
S91-02-02</t>
  </si>
  <si>
    <t>Center support
S91-02-03</t>
  </si>
  <si>
    <t>Edge sensor mounts
S91-02-04</t>
  </si>
  <si>
    <t>Electronics layer mount
S91-04-01</t>
  </si>
  <si>
    <t>LSM mount
S91-04-02</t>
  </si>
  <si>
    <t>Parts list</t>
  </si>
  <si>
    <t>Part</t>
  </si>
  <si>
    <t>QTY</t>
  </si>
  <si>
    <t>Total</t>
  </si>
  <si>
    <t>Filament cost/m</t>
  </si>
  <si>
    <t>Filament [m]</t>
  </si>
  <si>
    <t>Filament total [m]</t>
  </si>
  <si>
    <t>Total printing price(actual):</t>
  </si>
  <si>
    <t>Total printing price(university):</t>
  </si>
  <si>
    <t>Actual:</t>
  </si>
  <si>
    <t>University Rate</t>
  </si>
  <si>
    <t>Side panel left
S91-03-01</t>
  </si>
  <si>
    <t>Side panel right
S91-03-02</t>
  </si>
  <si>
    <t>Wedge
S91-03-03</t>
  </si>
  <si>
    <t>Wheel mold
S91-01-03</t>
  </si>
  <si>
    <t>Wheel rim
S91-01-02</t>
  </si>
  <si>
    <t>Wheel rim</t>
  </si>
  <si>
    <t>Motor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</si>
</sst>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8" formatCode="&quot;R&quot;#,##0.00;[Red]\-&quot;R&quot;#,##0.00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3" xfId="0" applyFill="1" applyBorder="1" applyAlignment="1">
      <alignment wrapText="1"/>
    </xf>
    <xf numFmtId="0" fontId="0" fillId="2" borderId="4" xfId="0" applyFill="1" applyBorder="1"/>
    <xf numFmtId="0" fontId="0" fillId="4" borderId="5" xfId="0" applyFill="1" applyBorder="1"/>
    <xf numFmtId="0" fontId="0" fillId="2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2" borderId="6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5" xfId="0" applyFill="1" applyBorder="1"/>
    <xf numFmtId="0" fontId="0" fillId="4" borderId="4" xfId="0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1" xfId="0" applyBorder="1"/>
    <xf numFmtId="0" fontId="0" fillId="6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0" fontId="0" fillId="4" borderId="6" xfId="0" applyFill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4A07-74EC-4E7D-B2AF-629585BB7E87}">
  <dimension ref="A1:E12"/>
  <sheetViews>
    <sheetView tabSelected="1" topLeftCell="A2" workbookViewId="0">
      <selection activeCell="E11" sqref="E11"/>
    </sheetView>
  </sheetViews>
  <sheetFormatPr defaultRowHeight="15" x14ac:dyDescent="0.25"/>
  <cols>
    <col min="1" max="1" width="19.140625" bestFit="1" customWidth="1"/>
    <col min="2" max="2" width="10" bestFit="1" customWidth="1"/>
    <col min="3" max="3" width="21.28515625" customWidth="1"/>
  </cols>
  <sheetData>
    <row r="1" spans="1:5" ht="30" x14ac:dyDescent="0.25">
      <c r="A1" s="21" t="s">
        <v>13</v>
      </c>
      <c r="B1" s="2" t="s">
        <v>0</v>
      </c>
      <c r="C1" s="4" t="s">
        <v>18</v>
      </c>
      <c r="D1" s="20" t="b">
        <v>1</v>
      </c>
    </row>
    <row r="2" spans="1:5" ht="30" x14ac:dyDescent="0.25">
      <c r="A2" s="22"/>
      <c r="B2" s="7" t="s">
        <v>14</v>
      </c>
      <c r="C2" s="4" t="s">
        <v>40</v>
      </c>
      <c r="D2" s="20" t="b">
        <v>1</v>
      </c>
      <c r="E2" s="20" t="b">
        <v>0</v>
      </c>
    </row>
    <row r="3" spans="1:5" ht="30" x14ac:dyDescent="0.25">
      <c r="A3" s="22"/>
      <c r="B3" s="8"/>
      <c r="C3" s="4" t="s">
        <v>39</v>
      </c>
      <c r="D3" s="20" t="b">
        <v>1</v>
      </c>
    </row>
    <row r="4" spans="1:5" ht="30" x14ac:dyDescent="0.25">
      <c r="A4" s="22"/>
      <c r="B4" s="9" t="s">
        <v>1</v>
      </c>
      <c r="C4" s="1" t="s">
        <v>19</v>
      </c>
      <c r="D4" s="20" t="b">
        <v>1</v>
      </c>
      <c r="E4" s="20" t="b">
        <v>0</v>
      </c>
    </row>
    <row r="5" spans="1:5" ht="30" x14ac:dyDescent="0.25">
      <c r="A5" s="22"/>
      <c r="B5" s="10" t="s">
        <v>15</v>
      </c>
      <c r="C5" s="1" t="s">
        <v>20</v>
      </c>
      <c r="D5" s="20" t="b">
        <v>1</v>
      </c>
    </row>
    <row r="6" spans="1:5" ht="30" x14ac:dyDescent="0.25">
      <c r="A6" s="22"/>
      <c r="B6" s="10"/>
      <c r="C6" s="1" t="s">
        <v>21</v>
      </c>
      <c r="D6" s="20" t="b">
        <v>1</v>
      </c>
    </row>
    <row r="7" spans="1:5" ht="30" x14ac:dyDescent="0.25">
      <c r="A7" s="22"/>
      <c r="B7" s="11"/>
      <c r="C7" s="1" t="s">
        <v>22</v>
      </c>
      <c r="D7" s="20" t="b">
        <v>1</v>
      </c>
    </row>
    <row r="8" spans="1:5" ht="30" x14ac:dyDescent="0.25">
      <c r="A8" s="22"/>
      <c r="B8" s="12" t="s">
        <v>6</v>
      </c>
      <c r="C8" s="5" t="s">
        <v>36</v>
      </c>
      <c r="D8" s="20" t="b">
        <v>1</v>
      </c>
      <c r="E8" s="20" t="b">
        <v>0</v>
      </c>
    </row>
    <row r="9" spans="1:5" ht="30" x14ac:dyDescent="0.25">
      <c r="A9" s="22"/>
      <c r="B9" s="19"/>
      <c r="C9" s="5" t="s">
        <v>37</v>
      </c>
      <c r="D9" s="20" t="b">
        <v>1</v>
      </c>
    </row>
    <row r="10" spans="1:5" ht="30" x14ac:dyDescent="0.25">
      <c r="A10" s="22"/>
      <c r="B10" s="3" t="s">
        <v>16</v>
      </c>
      <c r="C10" s="5" t="s">
        <v>38</v>
      </c>
      <c r="D10" s="20" t="b">
        <v>1</v>
      </c>
    </row>
    <row r="11" spans="1:5" ht="45" x14ac:dyDescent="0.25">
      <c r="A11" s="22"/>
      <c r="B11" s="13" t="s">
        <v>10</v>
      </c>
      <c r="C11" s="6" t="s">
        <v>23</v>
      </c>
      <c r="D11" s="20" t="b">
        <v>1</v>
      </c>
      <c r="E11" s="20" t="b">
        <v>0</v>
      </c>
    </row>
    <row r="12" spans="1:5" ht="30" x14ac:dyDescent="0.25">
      <c r="A12" s="22"/>
      <c r="B12" s="14" t="s">
        <v>17</v>
      </c>
      <c r="C12" s="6" t="s">
        <v>24</v>
      </c>
      <c r="D12" s="20" t="b">
        <v>1</v>
      </c>
    </row>
  </sheetData>
  <mergeCells count="1">
    <mergeCell ref="A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B9FB-6B0E-4CBF-828A-F6AE0373230B}">
  <dimension ref="A1:G17"/>
  <sheetViews>
    <sheetView workbookViewId="0">
      <selection activeCell="G17" sqref="G17"/>
    </sheetView>
  </sheetViews>
  <sheetFormatPr defaultRowHeight="15" x14ac:dyDescent="0.25"/>
  <cols>
    <col min="1" max="1" width="25.28515625" bestFit="1" customWidth="1"/>
    <col min="3" max="3" width="11" bestFit="1" customWidth="1"/>
    <col min="4" max="4" width="15" bestFit="1" customWidth="1"/>
    <col min="5" max="7" width="14.140625" bestFit="1" customWidth="1"/>
  </cols>
  <sheetData>
    <row r="1" spans="1:7" x14ac:dyDescent="0.25">
      <c r="A1" s="23" t="s">
        <v>25</v>
      </c>
      <c r="B1" s="23"/>
      <c r="C1" s="23"/>
      <c r="D1" s="23"/>
      <c r="F1" s="15"/>
      <c r="G1" s="16" t="s">
        <v>29</v>
      </c>
    </row>
    <row r="2" spans="1:7" x14ac:dyDescent="0.25">
      <c r="A2" s="16" t="s">
        <v>26</v>
      </c>
      <c r="B2" s="16" t="s">
        <v>27</v>
      </c>
      <c r="C2" s="16" t="s">
        <v>30</v>
      </c>
      <c r="D2" s="16" t="s">
        <v>31</v>
      </c>
      <c r="F2" s="16" t="s">
        <v>34</v>
      </c>
      <c r="G2" s="17">
        <v>1.5</v>
      </c>
    </row>
    <row r="3" spans="1:7" x14ac:dyDescent="0.25">
      <c r="A3" s="15" t="s">
        <v>42</v>
      </c>
      <c r="B3" s="15">
        <v>2</v>
      </c>
      <c r="C3" s="15">
        <v>0.6</v>
      </c>
      <c r="D3" s="15">
        <f>B3*C3</f>
        <v>1.2</v>
      </c>
      <c r="F3" s="16" t="s">
        <v>35</v>
      </c>
      <c r="G3" s="18">
        <v>15</v>
      </c>
    </row>
    <row r="4" spans="1:7" x14ac:dyDescent="0.25">
      <c r="A4" s="15" t="s">
        <v>41</v>
      </c>
      <c r="B4" s="15">
        <v>2</v>
      </c>
      <c r="C4" s="15">
        <v>2</v>
      </c>
      <c r="D4" s="15">
        <f t="shared" ref="D4:D13" si="0">B4*C4</f>
        <v>4</v>
      </c>
    </row>
    <row r="5" spans="1:7" x14ac:dyDescent="0.25">
      <c r="A5" s="15" t="s">
        <v>2</v>
      </c>
      <c r="B5" s="15">
        <v>2</v>
      </c>
      <c r="C5" s="15">
        <v>3</v>
      </c>
      <c r="D5" s="15">
        <f t="shared" si="0"/>
        <v>6</v>
      </c>
    </row>
    <row r="6" spans="1:7" x14ac:dyDescent="0.25">
      <c r="A6" s="15" t="s">
        <v>3</v>
      </c>
      <c r="B6" s="15">
        <v>1</v>
      </c>
      <c r="C6" s="15">
        <v>16</v>
      </c>
      <c r="D6" s="15">
        <f t="shared" si="0"/>
        <v>16</v>
      </c>
    </row>
    <row r="7" spans="1:7" x14ac:dyDescent="0.25">
      <c r="A7" s="15" t="s">
        <v>4</v>
      </c>
      <c r="B7" s="15">
        <v>1</v>
      </c>
      <c r="C7" s="15">
        <v>0.5</v>
      </c>
      <c r="D7" s="15">
        <f t="shared" si="0"/>
        <v>0.5</v>
      </c>
    </row>
    <row r="8" spans="1:7" x14ac:dyDescent="0.25">
      <c r="A8" s="15" t="s">
        <v>5</v>
      </c>
      <c r="B8" s="15">
        <v>2</v>
      </c>
      <c r="C8" s="15">
        <v>1.2</v>
      </c>
      <c r="D8" s="15">
        <f t="shared" si="0"/>
        <v>2.4</v>
      </c>
    </row>
    <row r="9" spans="1:7" x14ac:dyDescent="0.25">
      <c r="A9" s="15" t="s">
        <v>9</v>
      </c>
      <c r="B9" s="15">
        <v>2</v>
      </c>
      <c r="C9" s="15">
        <v>0.8</v>
      </c>
      <c r="D9" s="15">
        <f t="shared" si="0"/>
        <v>1.6</v>
      </c>
    </row>
    <row r="10" spans="1:7" x14ac:dyDescent="0.25">
      <c r="A10" s="15" t="s">
        <v>7</v>
      </c>
      <c r="B10" s="15">
        <v>2</v>
      </c>
      <c r="C10" s="15">
        <v>14</v>
      </c>
      <c r="D10" s="15">
        <f t="shared" si="0"/>
        <v>28</v>
      </c>
    </row>
    <row r="11" spans="1:7" x14ac:dyDescent="0.25">
      <c r="A11" s="15" t="s">
        <v>8</v>
      </c>
      <c r="B11" s="15">
        <v>1</v>
      </c>
      <c r="C11" s="15">
        <v>20</v>
      </c>
      <c r="D11" s="15">
        <f t="shared" si="0"/>
        <v>20</v>
      </c>
    </row>
    <row r="12" spans="1:7" x14ac:dyDescent="0.25">
      <c r="A12" s="15" t="s">
        <v>12</v>
      </c>
      <c r="B12" s="15">
        <v>1</v>
      </c>
      <c r="C12" s="15">
        <v>9</v>
      </c>
      <c r="D12" s="15">
        <f t="shared" si="0"/>
        <v>9</v>
      </c>
    </row>
    <row r="13" spans="1:7" x14ac:dyDescent="0.25">
      <c r="A13" s="15" t="s">
        <v>11</v>
      </c>
      <c r="B13" s="15">
        <v>1</v>
      </c>
      <c r="C13" s="15">
        <v>5.2</v>
      </c>
      <c r="D13" s="15">
        <f t="shared" si="0"/>
        <v>5.2</v>
      </c>
    </row>
    <row r="14" spans="1:7" x14ac:dyDescent="0.25">
      <c r="C14" s="16" t="s">
        <v>28</v>
      </c>
      <c r="D14" s="15">
        <f>SUM(D3:D13)</f>
        <v>93.9</v>
      </c>
    </row>
    <row r="16" spans="1:7" x14ac:dyDescent="0.25">
      <c r="A16" s="16" t="s">
        <v>32</v>
      </c>
      <c r="B16" s="17">
        <f>D14*G2</f>
        <v>140.85000000000002</v>
      </c>
    </row>
    <row r="17" spans="1:2" x14ac:dyDescent="0.25">
      <c r="A17" s="16" t="s">
        <v>33</v>
      </c>
      <c r="B17" s="17">
        <f>G3*D14</f>
        <v>1408.5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Drawing Tree</vt:lpstr>
      <vt:lpstr>Printing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Blanche</dc:creator>
  <cp:lastModifiedBy>C Blanche</cp:lastModifiedBy>
  <dcterms:created xsi:type="dcterms:W3CDTF">2026-10-14T11:21:58Z</dcterms:created>
  <dcterms:modified xsi:type="dcterms:W3CDTF">2026-10-14T20:19:15Z</dcterms:modified>
</cp:coreProperties>
</file>