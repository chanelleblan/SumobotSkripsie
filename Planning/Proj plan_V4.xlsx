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1e88f1d5ded906d/Documents/Uni files/4th year/Skripsie/"/>
    </mc:Choice>
  </mc:AlternateContent>
  <xr:revisionPtr revIDLastSave="42" documentId="13_ncr:1_{41A38C5E-4A71-4BF2-813F-0DAC40F76870}" xr6:coauthVersionLast="47" xr6:coauthVersionMax="47" xr10:uidLastSave="{A8A9CA37-ECCF-4976-ACB3-7DDE6B9A3A49}"/>
  <bookViews>
    <workbookView xWindow="-120" yWindow="-120" windowWidth="29040" windowHeight="15720" xr2:uid="{86B17C87-62A4-4EEE-B8A3-06F06656F8B7}"/>
  </bookViews>
  <sheets>
    <sheet name="Gannt" sheetId="2" r:id="rId1"/>
    <sheet name="Component cost tracker" sheetId="3" r:id="rId2"/>
    <sheet name="Cost" sheetId="1" r:id="rId3"/>
  </sheets>
  <definedNames>
    <definedName name="_xlnm.Print_Area" localSheetId="0">Gannt!$O$13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6" i="3"/>
  <c r="E4" i="3"/>
  <c r="E5" i="3"/>
  <c r="E25" i="3"/>
  <c r="E26" i="3"/>
  <c r="E22" i="3"/>
  <c r="E23" i="3"/>
  <c r="E21" i="3"/>
  <c r="E20" i="3"/>
  <c r="E27" i="3" s="1"/>
  <c r="E17" i="3"/>
  <c r="E16" i="3"/>
  <c r="E15" i="3"/>
  <c r="E14" i="3"/>
  <c r="E9" i="3"/>
  <c r="E12" i="3" s="1"/>
  <c r="E3" i="3"/>
  <c r="I33" i="1"/>
  <c r="H33" i="1"/>
  <c r="G33" i="1"/>
  <c r="F33" i="1"/>
  <c r="E33" i="1"/>
  <c r="D33" i="1"/>
  <c r="B33" i="1"/>
  <c r="J32" i="1"/>
  <c r="J31" i="1"/>
  <c r="J30" i="1"/>
  <c r="J29" i="1"/>
  <c r="J28" i="1"/>
  <c r="J27" i="1"/>
  <c r="J26" i="1"/>
  <c r="J25" i="1"/>
  <c r="J24" i="1"/>
  <c r="J23" i="1"/>
  <c r="J22" i="1"/>
  <c r="J5" i="1"/>
  <c r="J6" i="1"/>
  <c r="J7" i="1"/>
  <c r="J8" i="1"/>
  <c r="H13" i="1"/>
  <c r="D16" i="1"/>
  <c r="E16" i="1"/>
  <c r="F16" i="1"/>
  <c r="G16" i="1"/>
  <c r="I16" i="1"/>
  <c r="H12" i="1"/>
  <c r="H16" i="1" s="1"/>
  <c r="C5" i="1"/>
  <c r="C6" i="1"/>
  <c r="C7" i="1"/>
  <c r="C8" i="1"/>
  <c r="C9" i="1"/>
  <c r="J9" i="1" s="1"/>
  <c r="C10" i="1"/>
  <c r="J10" i="1" s="1"/>
  <c r="C11" i="1"/>
  <c r="J11" i="1" s="1"/>
  <c r="C12" i="1"/>
  <c r="J12" i="1" s="1"/>
  <c r="C13" i="1"/>
  <c r="J13" i="1" s="1"/>
  <c r="C14" i="1"/>
  <c r="J14" i="1" s="1"/>
  <c r="C15" i="1"/>
  <c r="J15" i="1" s="1"/>
  <c r="C4" i="1"/>
  <c r="B16" i="1"/>
  <c r="E18" i="3" l="1"/>
  <c r="E7" i="3"/>
  <c r="C33" i="1"/>
  <c r="J21" i="1"/>
  <c r="J33" i="1" s="1"/>
  <c r="J4" i="1"/>
  <c r="J16" i="1" s="1"/>
  <c r="C16" i="1"/>
  <c r="E28" i="3" l="1"/>
  <c r="B30" i="3" s="1"/>
</calcChain>
</file>

<file path=xl/sharedStrings.xml><?xml version="1.0" encoding="utf-8"?>
<sst xmlns="http://schemas.openxmlformats.org/spreadsheetml/2006/main" count="183" uniqueCount="78">
  <si>
    <t>Activity</t>
  </si>
  <si>
    <t>Engineering Time</t>
  </si>
  <si>
    <t>Running Costs</t>
  </si>
  <si>
    <t>Facility Use</t>
  </si>
  <si>
    <t>Capital Costs</t>
  </si>
  <si>
    <t>MMW</t>
  </si>
  <si>
    <t>Labour</t>
  </si>
  <si>
    <t>Material</t>
  </si>
  <si>
    <t>TOTAL</t>
  </si>
  <si>
    <t>hr</t>
  </si>
  <si>
    <t>R</t>
  </si>
  <si>
    <t>Review Literature</t>
  </si>
  <si>
    <t>Compile Design Requirements</t>
  </si>
  <si>
    <t>Identify Compatible Design Approaches</t>
  </si>
  <si>
    <t>Investigate Concepts for the Robot System</t>
  </si>
  <si>
    <t>Simulate the Most Promising Concepts</t>
  </si>
  <si>
    <t>Select Preferred Concept</t>
  </si>
  <si>
    <t>Design Review</t>
  </si>
  <si>
    <t>Design Prototype System</t>
  </si>
  <si>
    <t>Manufacture Prototype</t>
  </si>
  <si>
    <t>Test Prototype</t>
  </si>
  <si>
    <t>Finalise Report</t>
  </si>
  <si>
    <t>Improve Prototype and Validate System Performance</t>
  </si>
  <si>
    <t>Feb 20206</t>
  </si>
  <si>
    <t>Mar 2026</t>
  </si>
  <si>
    <t>May 2026</t>
  </si>
  <si>
    <t>Apr 2026</t>
  </si>
  <si>
    <t>Jun 2026</t>
  </si>
  <si>
    <t>Jul 2026</t>
  </si>
  <si>
    <t>Aug 2026</t>
  </si>
  <si>
    <t>Sep 20206</t>
  </si>
  <si>
    <t>Oct 2026</t>
  </si>
  <si>
    <t>Sep 2026</t>
  </si>
  <si>
    <t>Feb 2026</t>
  </si>
  <si>
    <t>Simulate Components of Interest</t>
  </si>
  <si>
    <t>Done</t>
  </si>
  <si>
    <t>Busy</t>
  </si>
  <si>
    <t>To do</t>
  </si>
  <si>
    <t>Sensors</t>
  </si>
  <si>
    <t>ToF</t>
  </si>
  <si>
    <t>IR</t>
  </si>
  <si>
    <t>QTY</t>
  </si>
  <si>
    <t>COST</t>
  </si>
  <si>
    <t>ITEM</t>
  </si>
  <si>
    <t>Description</t>
  </si>
  <si>
    <t>Communica</t>
  </si>
  <si>
    <t>Microcontroller</t>
  </si>
  <si>
    <t>STM411 black pill</t>
  </si>
  <si>
    <t>Shipping</t>
  </si>
  <si>
    <t>Microrobotics</t>
  </si>
  <si>
    <t>Sub-total</t>
  </si>
  <si>
    <t>In-person pickup</t>
  </si>
  <si>
    <t>Power system</t>
  </si>
  <si>
    <t>DC motor driver</t>
  </si>
  <si>
    <t>Misc</t>
  </si>
  <si>
    <t>Prototyping board</t>
  </si>
  <si>
    <t>3D printing frame parts</t>
  </si>
  <si>
    <t>In person pick-up</t>
  </si>
  <si>
    <t>DIP switch</t>
  </si>
  <si>
    <t>Power switch</t>
  </si>
  <si>
    <t>Passive components</t>
  </si>
  <si>
    <t>Shipping+VAT</t>
  </si>
  <si>
    <t>After</t>
  </si>
  <si>
    <t>Demonstrate/Presentation and hand-in</t>
  </si>
  <si>
    <t>Procured</t>
  </si>
  <si>
    <t>Found supplier</t>
  </si>
  <si>
    <t>Email sent</t>
  </si>
  <si>
    <t>Received</t>
  </si>
  <si>
    <t>https://goblinhobbies.co.za/s1-lipo-battery-7-4v-300mah-60c-gt030039.html</t>
  </si>
  <si>
    <t>Finalize Prototype System Design</t>
  </si>
  <si>
    <t>Shipping incl</t>
  </si>
  <si>
    <t>Wheels (Inc shipping)</t>
  </si>
  <si>
    <t>Vytaflex 40</t>
  </si>
  <si>
    <t>Vytaflex 30</t>
  </si>
  <si>
    <t>ESP32</t>
  </si>
  <si>
    <t>LSM6</t>
  </si>
  <si>
    <t>DC motor</t>
  </si>
  <si>
    <t>11.1V LiPo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</si>
</sst>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&quot;R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4A4B49"/>
      <name val="Arial"/>
      <family val="2"/>
    </font>
    <font>
      <sz val="11"/>
      <color theme="7" tint="0.7999816888943144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gray125">
        <bgColor theme="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1" xfId="0" applyNumberFormat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49" fontId="0" fillId="0" borderId="1" xfId="0" applyNumberFormat="1" applyBorder="1"/>
    <xf numFmtId="0" fontId="0" fillId="1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49" fontId="0" fillId="4" borderId="1" xfId="0" applyNumberFormat="1" applyFill="1" applyBorder="1"/>
    <xf numFmtId="0" fontId="0" fillId="0" borderId="1" xfId="0" applyBorder="1"/>
    <xf numFmtId="0" fontId="0" fillId="6" borderId="1" xfId="0" applyFill="1" applyBorder="1"/>
    <xf numFmtId="0" fontId="1" fillId="4" borderId="1" xfId="0" applyFont="1" applyFill="1" applyBorder="1"/>
    <xf numFmtId="164" fontId="0" fillId="0" borderId="1" xfId="0" applyNumberFormat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7" borderId="1" xfId="0" applyFill="1" applyBorder="1"/>
    <xf numFmtId="164" fontId="0" fillId="7" borderId="1" xfId="0" applyNumberFormat="1" applyFill="1" applyBorder="1"/>
    <xf numFmtId="164" fontId="1" fillId="7" borderId="1" xfId="0" applyNumberFormat="1" applyFont="1" applyFill="1" applyBorder="1" applyAlignment="1">
      <alignment horizontal="right"/>
    </xf>
    <xf numFmtId="6" fontId="0" fillId="0" borderId="1" xfId="0" applyNumberFormat="1" applyBorder="1"/>
    <xf numFmtId="164" fontId="3" fillId="0" borderId="0" xfId="0" applyNumberFormat="1" applyFont="1"/>
    <xf numFmtId="164" fontId="1" fillId="9" borderId="1" xfId="0" applyNumberFormat="1" applyFont="1" applyFill="1" applyBorder="1"/>
    <xf numFmtId="164" fontId="0" fillId="0" borderId="0" xfId="0" applyNumberFormat="1"/>
    <xf numFmtId="0" fontId="4" fillId="7" borderId="1" xfId="0" applyFont="1" applyFill="1" applyBorder="1"/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1"/>
    <xf numFmtId="0" fontId="2" fillId="7" borderId="1" xfId="0" applyFont="1" applyFill="1" applyBorder="1"/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oblinhobbies.co.za/s1-lipo-battery-7-4v-300mah-60c-gt03003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3DE5-165A-4A35-964C-2662F639218B}">
  <dimension ref="A1:M44"/>
  <sheetViews>
    <sheetView tabSelected="1" workbookViewId="0">
      <selection activeCell="S18" sqref="S18"/>
    </sheetView>
  </sheetViews>
  <sheetFormatPr defaultRowHeight="15" x14ac:dyDescent="0.25"/>
  <cols>
    <col min="1" max="1" width="47.7109375" customWidth="1"/>
    <col min="2" max="2" width="9.5703125" bestFit="1" customWidth="1"/>
    <col min="3" max="3" width="8.85546875" bestFit="1" customWidth="1"/>
    <col min="4" max="4" width="9.42578125" bestFit="1" customWidth="1"/>
    <col min="5" max="5" width="10" customWidth="1"/>
    <col min="6" max="6" width="9.42578125" bestFit="1" customWidth="1"/>
    <col min="7" max="7" width="8.85546875" bestFit="1" customWidth="1"/>
    <col min="8" max="8" width="8.7109375" bestFit="1" customWidth="1"/>
    <col min="9" max="9" width="9.5703125" bestFit="1" customWidth="1"/>
    <col min="10" max="10" width="8.42578125" bestFit="1" customWidth="1"/>
  </cols>
  <sheetData>
    <row r="1" spans="1:10" x14ac:dyDescent="0.25">
      <c r="A1" s="7" t="s">
        <v>0</v>
      </c>
      <c r="B1" s="9" t="s">
        <v>23</v>
      </c>
      <c r="C1" s="9" t="s">
        <v>24</v>
      </c>
      <c r="D1" s="9" t="s">
        <v>26</v>
      </c>
      <c r="E1" s="9" t="s">
        <v>25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</row>
    <row r="2" spans="1:10" x14ac:dyDescent="0.25">
      <c r="A2" s="5" t="s">
        <v>11</v>
      </c>
      <c r="B2" s="12"/>
      <c r="C2" s="12"/>
      <c r="D2" s="10"/>
      <c r="E2" s="10"/>
      <c r="F2" s="10"/>
      <c r="G2" s="10"/>
      <c r="H2" s="10"/>
      <c r="I2" s="10"/>
      <c r="J2" s="10"/>
    </row>
    <row r="3" spans="1:10" x14ac:dyDescent="0.25">
      <c r="A3" s="5" t="s">
        <v>13</v>
      </c>
      <c r="B3" s="12"/>
      <c r="C3" s="12"/>
      <c r="D3" s="10"/>
      <c r="E3" s="10"/>
      <c r="F3" s="10"/>
      <c r="G3" s="10"/>
      <c r="H3" s="10"/>
      <c r="I3" s="10"/>
      <c r="J3" s="10"/>
    </row>
    <row r="4" spans="1:10" x14ac:dyDescent="0.25">
      <c r="A4" s="5" t="s">
        <v>12</v>
      </c>
      <c r="B4" s="10"/>
      <c r="C4" s="12"/>
      <c r="D4" s="11"/>
      <c r="E4" s="11"/>
      <c r="F4" s="10"/>
      <c r="G4" s="10"/>
      <c r="H4" s="10"/>
      <c r="I4" s="10"/>
      <c r="J4" s="10"/>
    </row>
    <row r="5" spans="1:10" x14ac:dyDescent="0.25">
      <c r="A5" s="5" t="s">
        <v>14</v>
      </c>
      <c r="B5" s="10"/>
      <c r="C5" s="12"/>
      <c r="D5" s="12"/>
      <c r="E5" s="10"/>
      <c r="F5" s="10"/>
      <c r="G5" s="10"/>
      <c r="H5" s="10"/>
      <c r="I5" s="10"/>
      <c r="J5" s="10"/>
    </row>
    <row r="6" spans="1:10" x14ac:dyDescent="0.25">
      <c r="A6" s="5" t="s">
        <v>15</v>
      </c>
      <c r="B6" s="10"/>
      <c r="C6" s="12"/>
      <c r="D6" s="12"/>
      <c r="E6" s="12"/>
      <c r="F6" s="10"/>
      <c r="G6" s="10"/>
      <c r="H6" s="10"/>
      <c r="I6" s="10"/>
      <c r="J6" s="10"/>
    </row>
    <row r="7" spans="1:10" x14ac:dyDescent="0.25">
      <c r="A7" s="5" t="s">
        <v>16</v>
      </c>
      <c r="B7" s="10"/>
      <c r="C7" s="10"/>
      <c r="D7" s="10"/>
      <c r="E7" s="12"/>
      <c r="F7" s="12"/>
      <c r="G7" s="10"/>
      <c r="H7" s="10"/>
      <c r="I7" s="10"/>
      <c r="J7" s="10"/>
    </row>
    <row r="8" spans="1:10" x14ac:dyDescent="0.25">
      <c r="A8" s="5" t="s">
        <v>17</v>
      </c>
      <c r="B8" s="10"/>
      <c r="C8" s="10"/>
      <c r="D8" s="10"/>
      <c r="E8" s="10"/>
      <c r="F8" s="12"/>
      <c r="G8" s="10"/>
      <c r="H8" s="10"/>
      <c r="I8" s="10"/>
      <c r="J8" s="10"/>
    </row>
    <row r="9" spans="1:10" x14ac:dyDescent="0.25">
      <c r="A9" s="5" t="s">
        <v>18</v>
      </c>
      <c r="B9" s="10"/>
      <c r="C9" s="10"/>
      <c r="D9" s="10"/>
      <c r="E9" s="10"/>
      <c r="F9" s="10"/>
      <c r="G9" s="12"/>
      <c r="H9" s="10"/>
      <c r="I9" s="10"/>
      <c r="J9" s="10"/>
    </row>
    <row r="10" spans="1:10" x14ac:dyDescent="0.25">
      <c r="A10" s="5" t="s">
        <v>19</v>
      </c>
      <c r="B10" s="10"/>
      <c r="C10" s="10"/>
      <c r="D10" s="10"/>
      <c r="E10" s="10"/>
      <c r="F10" s="10"/>
      <c r="G10" s="12"/>
      <c r="H10" s="12"/>
      <c r="I10" s="10"/>
      <c r="J10" s="10"/>
    </row>
    <row r="11" spans="1:10" x14ac:dyDescent="0.25">
      <c r="A11" s="5" t="s">
        <v>20</v>
      </c>
      <c r="B11" s="10"/>
      <c r="C11" s="10"/>
      <c r="D11" s="10"/>
      <c r="E11" s="10"/>
      <c r="F11" s="10"/>
      <c r="G11" s="10"/>
      <c r="H11" s="12"/>
      <c r="I11" s="12"/>
      <c r="J11" s="10"/>
    </row>
    <row r="12" spans="1:10" ht="14.25" customHeight="1" x14ac:dyDescent="0.25">
      <c r="A12" s="5" t="s">
        <v>22</v>
      </c>
      <c r="B12" s="10"/>
      <c r="C12" s="10"/>
      <c r="D12" s="10"/>
      <c r="E12" s="10"/>
      <c r="F12" s="10"/>
      <c r="G12" s="10"/>
      <c r="H12" s="12"/>
      <c r="I12" s="12"/>
      <c r="J12" s="10"/>
    </row>
    <row r="13" spans="1:10" x14ac:dyDescent="0.25">
      <c r="A13" s="8" t="s">
        <v>21</v>
      </c>
      <c r="B13" s="10"/>
      <c r="C13" s="10"/>
      <c r="D13" s="10"/>
      <c r="E13" s="10"/>
      <c r="F13" s="10"/>
      <c r="G13" s="10"/>
      <c r="H13" s="10"/>
      <c r="I13" s="12"/>
      <c r="J13" s="12"/>
    </row>
    <row r="15" spans="1:10" x14ac:dyDescent="0.25">
      <c r="A15" s="7" t="s">
        <v>0</v>
      </c>
      <c r="B15" s="14" t="s">
        <v>33</v>
      </c>
      <c r="C15" s="14" t="s">
        <v>24</v>
      </c>
      <c r="D15" s="14" t="s">
        <v>26</v>
      </c>
      <c r="E15" s="14" t="s">
        <v>25</v>
      </c>
      <c r="F15" s="14" t="s">
        <v>27</v>
      </c>
      <c r="G15" s="14" t="s">
        <v>28</v>
      </c>
      <c r="H15" s="14" t="s">
        <v>29</v>
      </c>
      <c r="I15" s="14" t="s">
        <v>32</v>
      </c>
      <c r="J15" s="14" t="s">
        <v>31</v>
      </c>
    </row>
    <row r="16" spans="1:10" x14ac:dyDescent="0.25">
      <c r="A16" s="5" t="s">
        <v>11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3" x14ac:dyDescent="0.25">
      <c r="A17" s="5" t="s">
        <v>13</v>
      </c>
      <c r="B17" s="12"/>
      <c r="C17" s="12"/>
      <c r="D17" s="13"/>
      <c r="E17" s="13"/>
      <c r="F17" s="13"/>
      <c r="G17" s="13"/>
      <c r="H17" s="13"/>
      <c r="I17" s="13"/>
      <c r="J17" s="13"/>
    </row>
    <row r="18" spans="1:13" x14ac:dyDescent="0.25">
      <c r="A18" s="5" t="s">
        <v>12</v>
      </c>
      <c r="B18" s="13"/>
      <c r="C18" s="13"/>
      <c r="D18" s="12"/>
      <c r="E18" s="13"/>
      <c r="F18" s="13"/>
      <c r="G18" s="13"/>
      <c r="H18" s="13"/>
      <c r="I18" s="13"/>
      <c r="J18" s="13"/>
    </row>
    <row r="19" spans="1:13" x14ac:dyDescent="0.25">
      <c r="A19" s="5" t="s">
        <v>14</v>
      </c>
      <c r="B19" s="13"/>
      <c r="C19" s="13"/>
      <c r="D19" s="12"/>
      <c r="E19" s="13"/>
      <c r="F19" s="13"/>
      <c r="G19" s="13"/>
      <c r="H19" s="13"/>
      <c r="I19" s="13"/>
      <c r="J19" s="13"/>
    </row>
    <row r="20" spans="1:13" x14ac:dyDescent="0.25">
      <c r="A20" s="5" t="s">
        <v>16</v>
      </c>
      <c r="B20" s="13"/>
      <c r="C20" s="13"/>
      <c r="D20" s="13"/>
      <c r="E20" s="12"/>
      <c r="F20" s="12"/>
      <c r="G20" s="13"/>
      <c r="H20" s="13"/>
      <c r="I20" s="13"/>
      <c r="J20" s="13"/>
    </row>
    <row r="21" spans="1:13" x14ac:dyDescent="0.25">
      <c r="A21" s="5" t="s">
        <v>17</v>
      </c>
      <c r="B21" s="13"/>
      <c r="C21" s="13"/>
      <c r="D21" s="13"/>
      <c r="E21" s="13"/>
      <c r="F21" s="12"/>
      <c r="G21" s="12"/>
      <c r="H21" s="13"/>
      <c r="I21" s="13"/>
      <c r="J21" s="13"/>
    </row>
    <row r="22" spans="1:13" x14ac:dyDescent="0.25">
      <c r="A22" s="5" t="s">
        <v>34</v>
      </c>
      <c r="B22" s="13"/>
      <c r="C22" s="13"/>
      <c r="D22" s="13"/>
      <c r="E22" s="13"/>
      <c r="F22" s="12"/>
      <c r="G22" s="12"/>
      <c r="H22" s="12"/>
      <c r="I22" s="13"/>
      <c r="J22" s="13"/>
    </row>
    <row r="23" spans="1:13" x14ac:dyDescent="0.25">
      <c r="A23" s="5" t="s">
        <v>69</v>
      </c>
      <c r="B23" s="13"/>
      <c r="C23" s="13"/>
      <c r="D23" s="13"/>
      <c r="E23" s="13"/>
      <c r="F23" s="13"/>
      <c r="G23" s="12"/>
      <c r="H23" s="13"/>
      <c r="I23" s="13"/>
      <c r="J23" s="13"/>
    </row>
    <row r="24" spans="1:13" x14ac:dyDescent="0.25">
      <c r="A24" s="5" t="s">
        <v>19</v>
      </c>
      <c r="B24" s="13"/>
      <c r="C24" s="13"/>
      <c r="D24" s="13"/>
      <c r="E24" s="13"/>
      <c r="F24" s="13"/>
      <c r="G24" s="12"/>
      <c r="H24" s="12"/>
      <c r="I24" s="12"/>
      <c r="J24" s="13"/>
    </row>
    <row r="25" spans="1:13" x14ac:dyDescent="0.25">
      <c r="A25" s="5" t="s">
        <v>20</v>
      </c>
      <c r="B25" s="13"/>
      <c r="C25" s="13"/>
      <c r="D25" s="13"/>
      <c r="E25" s="13"/>
      <c r="F25" s="13"/>
      <c r="G25" s="12"/>
      <c r="H25" s="12"/>
      <c r="I25" s="12"/>
      <c r="J25" s="12"/>
    </row>
    <row r="26" spans="1:13" ht="15" customHeight="1" x14ac:dyDescent="0.25">
      <c r="A26" s="5" t="s">
        <v>22</v>
      </c>
      <c r="B26" s="13"/>
      <c r="C26" s="13"/>
      <c r="D26" s="13"/>
      <c r="E26" s="13"/>
      <c r="F26" s="13"/>
      <c r="G26" s="13"/>
      <c r="H26" s="12"/>
      <c r="I26" s="12"/>
      <c r="J26" s="12"/>
    </row>
    <row r="27" spans="1:13" x14ac:dyDescent="0.25">
      <c r="A27" s="8" t="s">
        <v>21</v>
      </c>
      <c r="B27" s="13"/>
      <c r="C27" s="13"/>
      <c r="D27" s="13"/>
      <c r="E27" s="13"/>
      <c r="F27" s="13"/>
      <c r="G27" s="13"/>
      <c r="H27" s="13"/>
      <c r="I27" s="12"/>
      <c r="J27" s="12"/>
    </row>
    <row r="29" spans="1:13" x14ac:dyDescent="0.25">
      <c r="A29" s="7" t="s">
        <v>0</v>
      </c>
      <c r="B29" s="14" t="s">
        <v>33</v>
      </c>
      <c r="C29" s="14" t="s">
        <v>24</v>
      </c>
      <c r="D29" s="14" t="s">
        <v>26</v>
      </c>
      <c r="E29" s="14" t="s">
        <v>25</v>
      </c>
      <c r="F29" s="14" t="s">
        <v>27</v>
      </c>
      <c r="G29" s="14" t="s">
        <v>28</v>
      </c>
      <c r="H29" s="14" t="s">
        <v>29</v>
      </c>
      <c r="I29" s="14" t="s">
        <v>32</v>
      </c>
      <c r="J29" s="14" t="s">
        <v>31</v>
      </c>
    </row>
    <row r="30" spans="1:13" x14ac:dyDescent="0.25">
      <c r="A30" s="5" t="s">
        <v>11</v>
      </c>
      <c r="B30" s="28"/>
      <c r="C30" s="28"/>
      <c r="D30" s="13"/>
      <c r="E30" s="13"/>
      <c r="F30" s="13"/>
      <c r="G30" s="13"/>
      <c r="H30" s="13"/>
      <c r="I30" s="13"/>
      <c r="J30" s="13"/>
    </row>
    <row r="31" spans="1:13" x14ac:dyDescent="0.25">
      <c r="A31" s="5" t="s">
        <v>13</v>
      </c>
      <c r="B31" s="28"/>
      <c r="C31" s="28"/>
      <c r="D31" s="13"/>
      <c r="E31" s="13"/>
      <c r="F31" s="13"/>
      <c r="G31" s="13"/>
      <c r="H31" s="13"/>
      <c r="I31" s="13"/>
      <c r="J31" s="13"/>
    </row>
    <row r="32" spans="1:13" x14ac:dyDescent="0.25">
      <c r="A32" s="5" t="s">
        <v>12</v>
      </c>
      <c r="B32" s="13"/>
      <c r="C32" s="13"/>
      <c r="D32" s="21"/>
      <c r="E32" s="13"/>
      <c r="F32" s="13"/>
      <c r="G32" s="13"/>
      <c r="H32" s="13"/>
      <c r="I32" s="13"/>
      <c r="J32" s="13"/>
      <c r="L32" s="15" t="s">
        <v>35</v>
      </c>
      <c r="M32" s="32"/>
    </row>
    <row r="33" spans="1:13" x14ac:dyDescent="0.25">
      <c r="A33" s="5" t="s">
        <v>14</v>
      </c>
      <c r="B33" s="13"/>
      <c r="C33" s="13"/>
      <c r="D33" s="21"/>
      <c r="E33" s="13"/>
      <c r="F33" s="13"/>
      <c r="G33" s="13"/>
      <c r="H33" s="13"/>
      <c r="I33" s="13"/>
      <c r="J33" s="13"/>
      <c r="L33" s="15" t="s">
        <v>36</v>
      </c>
      <c r="M33" s="16"/>
    </row>
    <row r="34" spans="1:13" x14ac:dyDescent="0.25">
      <c r="A34" s="5" t="s">
        <v>16</v>
      </c>
      <c r="B34" s="13"/>
      <c r="C34" s="13"/>
      <c r="D34" s="13"/>
      <c r="E34" s="21"/>
      <c r="F34" s="21"/>
      <c r="G34" s="13"/>
      <c r="H34" s="13"/>
      <c r="I34" s="13"/>
      <c r="J34" s="13"/>
      <c r="L34" s="15" t="s">
        <v>37</v>
      </c>
      <c r="M34" s="12"/>
    </row>
    <row r="35" spans="1:13" x14ac:dyDescent="0.25">
      <c r="A35" s="5" t="s">
        <v>17</v>
      </c>
      <c r="B35" s="13"/>
      <c r="C35" s="13"/>
      <c r="D35" s="13"/>
      <c r="E35" s="13"/>
      <c r="F35" s="21"/>
      <c r="G35" s="21"/>
      <c r="H35" s="13"/>
      <c r="I35" s="13"/>
      <c r="J35" s="13"/>
    </row>
    <row r="36" spans="1:13" x14ac:dyDescent="0.25">
      <c r="A36" s="5" t="s">
        <v>34</v>
      </c>
      <c r="B36" s="13"/>
      <c r="C36" s="13"/>
      <c r="D36" s="13"/>
      <c r="E36" s="13"/>
      <c r="F36" s="21"/>
      <c r="G36" s="21"/>
      <c r="H36" s="16"/>
      <c r="I36" s="13"/>
      <c r="J36" s="13"/>
    </row>
    <row r="37" spans="1:13" x14ac:dyDescent="0.25">
      <c r="A37" s="5" t="s">
        <v>69</v>
      </c>
      <c r="B37" s="13"/>
      <c r="C37" s="13"/>
      <c r="D37" s="13"/>
      <c r="E37" s="13"/>
      <c r="F37" s="13"/>
      <c r="G37" s="21"/>
      <c r="H37" s="13"/>
      <c r="I37" s="13"/>
      <c r="J37" s="13"/>
    </row>
    <row r="38" spans="1:13" x14ac:dyDescent="0.25">
      <c r="A38" s="5" t="s">
        <v>19</v>
      </c>
      <c r="B38" s="13"/>
      <c r="C38" s="13"/>
      <c r="D38" s="13"/>
      <c r="E38" s="13"/>
      <c r="F38" s="13"/>
      <c r="G38" s="21"/>
      <c r="H38" s="16"/>
      <c r="I38" s="12"/>
      <c r="J38" s="13"/>
    </row>
    <row r="39" spans="1:13" x14ac:dyDescent="0.25">
      <c r="A39" s="5" t="s">
        <v>20</v>
      </c>
      <c r="B39" s="13"/>
      <c r="C39" s="13"/>
      <c r="D39" s="13"/>
      <c r="E39" s="13"/>
      <c r="F39" s="13"/>
      <c r="G39" s="21"/>
      <c r="H39" s="16"/>
      <c r="I39" s="12"/>
      <c r="J39" s="12"/>
    </row>
    <row r="40" spans="1:13" ht="18.75" customHeight="1" x14ac:dyDescent="0.25">
      <c r="A40" s="5" t="s">
        <v>22</v>
      </c>
      <c r="B40" s="13"/>
      <c r="C40" s="13"/>
      <c r="D40" s="13"/>
      <c r="E40" s="13"/>
      <c r="F40" s="13"/>
      <c r="G40" s="13"/>
      <c r="H40" s="16"/>
      <c r="I40" s="12"/>
      <c r="J40" s="12"/>
    </row>
    <row r="41" spans="1:13" x14ac:dyDescent="0.25">
      <c r="A41" s="8" t="s">
        <v>21</v>
      </c>
      <c r="B41" s="13"/>
      <c r="C41" s="13"/>
      <c r="D41" s="13"/>
      <c r="E41" s="13"/>
      <c r="F41" s="13"/>
      <c r="G41" s="13"/>
      <c r="H41" s="13"/>
      <c r="I41" s="12"/>
      <c r="J41" s="12"/>
    </row>
    <row r="42" spans="1:13" x14ac:dyDescent="0.25">
      <c r="A42" s="5" t="s">
        <v>63</v>
      </c>
      <c r="B42" s="15"/>
      <c r="C42" s="15"/>
      <c r="D42" s="15"/>
      <c r="E42" s="15"/>
      <c r="F42" s="15"/>
      <c r="G42" s="15"/>
      <c r="H42" s="15"/>
      <c r="I42" s="15"/>
      <c r="J42" s="15"/>
    </row>
    <row r="44" spans="1:13" x14ac:dyDescent="0.25">
      <c r="A44" s="2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5285-0814-4E4F-832E-9979846BDE82}">
  <sheetPr>
    <pageSetUpPr fitToPage="1"/>
  </sheetPr>
  <dimension ref="A1:J30"/>
  <sheetViews>
    <sheetView workbookViewId="0">
      <selection activeCell="M10" sqref="M10"/>
    </sheetView>
  </sheetViews>
  <sheetFormatPr defaultRowHeight="15" x14ac:dyDescent="0.25"/>
  <cols>
    <col min="1" max="1" width="21.7109375" customWidth="1"/>
    <col min="2" max="2" width="34.140625" bestFit="1" customWidth="1"/>
    <col min="4" max="4" width="34.28515625" customWidth="1"/>
    <col min="5" max="5" width="25.42578125" customWidth="1"/>
    <col min="6" max="6" width="14.42578125" bestFit="1" customWidth="1"/>
    <col min="7" max="7" width="10.140625" bestFit="1" customWidth="1"/>
  </cols>
  <sheetData>
    <row r="1" spans="1:10" x14ac:dyDescent="0.25">
      <c r="A1" s="17" t="s">
        <v>43</v>
      </c>
      <c r="B1" s="17" t="s">
        <v>44</v>
      </c>
      <c r="C1" s="20" t="s">
        <v>41</v>
      </c>
      <c r="D1" s="19" t="s">
        <v>42</v>
      </c>
      <c r="E1" s="20" t="s">
        <v>8</v>
      </c>
      <c r="F1" t="s">
        <v>65</v>
      </c>
      <c r="G1" t="s">
        <v>66</v>
      </c>
      <c r="H1" t="s">
        <v>64</v>
      </c>
      <c r="I1" t="s">
        <v>67</v>
      </c>
    </row>
    <row r="2" spans="1:10" x14ac:dyDescent="0.25">
      <c r="A2" s="33" t="s">
        <v>38</v>
      </c>
      <c r="B2" s="34"/>
      <c r="C2" s="34"/>
      <c r="D2" s="34"/>
      <c r="E2" s="35"/>
    </row>
    <row r="3" spans="1:10" x14ac:dyDescent="0.25">
      <c r="A3" s="15" t="s">
        <v>39</v>
      </c>
      <c r="B3" s="15" t="s">
        <v>45</v>
      </c>
      <c r="C3" s="15">
        <v>5</v>
      </c>
      <c r="D3" s="18">
        <v>73.91</v>
      </c>
      <c r="E3" s="18">
        <f>C3*D3</f>
        <v>369.54999999999995</v>
      </c>
      <c r="F3" s="30" t="b">
        <v>1</v>
      </c>
      <c r="G3" s="30" t="b">
        <v>1</v>
      </c>
      <c r="H3" s="30" t="b">
        <v>1</v>
      </c>
      <c r="I3" s="30" t="b">
        <v>1</v>
      </c>
    </row>
    <row r="4" spans="1:10" x14ac:dyDescent="0.25">
      <c r="A4" s="15" t="s">
        <v>40</v>
      </c>
      <c r="B4" s="15" t="s">
        <v>45</v>
      </c>
      <c r="C4" s="15">
        <v>2</v>
      </c>
      <c r="D4" s="18">
        <v>50</v>
      </c>
      <c r="E4" s="18">
        <f t="shared" ref="E4:E5" si="0">C4*D4</f>
        <v>100</v>
      </c>
      <c r="F4" s="30" t="b">
        <v>1</v>
      </c>
      <c r="G4" s="30" t="b">
        <v>1</v>
      </c>
      <c r="H4" s="30" t="b">
        <v>1</v>
      </c>
      <c r="I4" s="30" t="b">
        <v>1</v>
      </c>
    </row>
    <row r="5" spans="1:10" x14ac:dyDescent="0.25">
      <c r="A5" s="15" t="s">
        <v>75</v>
      </c>
      <c r="B5" s="15" t="s">
        <v>49</v>
      </c>
      <c r="C5" s="15">
        <v>1</v>
      </c>
      <c r="D5" s="18">
        <v>86</v>
      </c>
      <c r="E5" s="18">
        <f t="shared" si="0"/>
        <v>86</v>
      </c>
      <c r="F5" s="30" t="b">
        <v>1</v>
      </c>
      <c r="G5" s="30" t="b">
        <v>1</v>
      </c>
      <c r="H5" s="30" t="b">
        <v>1</v>
      </c>
      <c r="I5" s="30" t="b">
        <v>1</v>
      </c>
    </row>
    <row r="6" spans="1:10" x14ac:dyDescent="0.25">
      <c r="A6" s="15" t="s">
        <v>61</v>
      </c>
      <c r="B6" s="15"/>
      <c r="C6" s="15"/>
      <c r="D6" s="18">
        <v>208.32</v>
      </c>
      <c r="E6" s="18">
        <f>D6</f>
        <v>208.32</v>
      </c>
    </row>
    <row r="7" spans="1:10" x14ac:dyDescent="0.25">
      <c r="A7" s="21"/>
      <c r="B7" s="21"/>
      <c r="C7" s="21"/>
      <c r="D7" s="23" t="s">
        <v>50</v>
      </c>
      <c r="E7" s="22">
        <f>SUM(E3:E6)</f>
        <v>763.86999999999989</v>
      </c>
    </row>
    <row r="8" spans="1:10" x14ac:dyDescent="0.25">
      <c r="A8" s="36" t="s">
        <v>46</v>
      </c>
      <c r="B8" s="36"/>
      <c r="C8" s="36"/>
      <c r="D8" s="36"/>
      <c r="E8" s="36"/>
    </row>
    <row r="9" spans="1:10" x14ac:dyDescent="0.25">
      <c r="A9" s="15" t="s">
        <v>47</v>
      </c>
      <c r="B9" s="15" t="s">
        <v>49</v>
      </c>
      <c r="C9" s="15">
        <v>3</v>
      </c>
      <c r="D9" s="18">
        <v>158</v>
      </c>
      <c r="E9" s="18">
        <f>C9*D9</f>
        <v>474</v>
      </c>
      <c r="F9" s="30" t="b">
        <v>1</v>
      </c>
      <c r="G9" s="30" t="b">
        <v>1</v>
      </c>
      <c r="H9" s="30" t="b">
        <v>1</v>
      </c>
      <c r="I9" s="30" t="b">
        <v>1</v>
      </c>
    </row>
    <row r="10" spans="1:10" x14ac:dyDescent="0.25">
      <c r="A10" s="15" t="s">
        <v>74</v>
      </c>
      <c r="B10" s="15"/>
      <c r="C10" s="15">
        <v>1</v>
      </c>
      <c r="D10" s="18">
        <v>99</v>
      </c>
      <c r="E10" s="18">
        <f>C10*D10</f>
        <v>99</v>
      </c>
      <c r="F10" s="30" t="b">
        <v>0</v>
      </c>
      <c r="G10" s="30" t="b">
        <v>0</v>
      </c>
      <c r="H10" s="30" t="b">
        <v>0</v>
      </c>
      <c r="I10" s="30" t="b">
        <v>0</v>
      </c>
    </row>
    <row r="11" spans="1:10" x14ac:dyDescent="0.25">
      <c r="A11" s="15" t="s">
        <v>48</v>
      </c>
      <c r="B11" s="15" t="s">
        <v>51</v>
      </c>
      <c r="C11" s="15"/>
      <c r="D11" s="15"/>
      <c r="E11" s="15"/>
    </row>
    <row r="12" spans="1:10" x14ac:dyDescent="0.25">
      <c r="A12" s="21"/>
      <c r="B12" s="21"/>
      <c r="C12" s="21"/>
      <c r="D12" s="23" t="s">
        <v>50</v>
      </c>
      <c r="E12" s="22">
        <f>SUM(E8:E11)</f>
        <v>573</v>
      </c>
    </row>
    <row r="13" spans="1:10" x14ac:dyDescent="0.25">
      <c r="A13" s="37" t="s">
        <v>52</v>
      </c>
      <c r="B13" s="37"/>
      <c r="C13" s="37"/>
      <c r="D13" s="37"/>
      <c r="E13" s="37"/>
    </row>
    <row r="14" spans="1:10" x14ac:dyDescent="0.25">
      <c r="A14" s="15" t="s">
        <v>76</v>
      </c>
      <c r="B14" s="15" t="s">
        <v>57</v>
      </c>
      <c r="C14" s="15">
        <v>2</v>
      </c>
      <c r="D14" s="18">
        <v>35</v>
      </c>
      <c r="E14" s="24">
        <f>C14*D14</f>
        <v>70</v>
      </c>
      <c r="F14" s="30" t="b">
        <v>1</v>
      </c>
      <c r="G14" s="30" t="b">
        <v>1</v>
      </c>
      <c r="H14" s="30" t="b">
        <v>1</v>
      </c>
      <c r="I14" s="30" t="b">
        <v>1</v>
      </c>
    </row>
    <row r="15" spans="1:10" x14ac:dyDescent="0.25">
      <c r="A15" s="15" t="s">
        <v>53</v>
      </c>
      <c r="B15" s="15" t="s">
        <v>49</v>
      </c>
      <c r="C15" s="15">
        <v>1</v>
      </c>
      <c r="D15" s="18">
        <v>206</v>
      </c>
      <c r="E15" s="18">
        <f>C15*D15</f>
        <v>206</v>
      </c>
      <c r="F15" s="30" t="b">
        <v>1</v>
      </c>
      <c r="G15" s="30" t="b">
        <v>1</v>
      </c>
      <c r="H15" s="30" t="b">
        <v>1</v>
      </c>
      <c r="I15" s="30" t="b">
        <v>1</v>
      </c>
    </row>
    <row r="16" spans="1:10" x14ac:dyDescent="0.25">
      <c r="A16" s="15" t="s">
        <v>77</v>
      </c>
      <c r="B16" s="15" t="s">
        <v>70</v>
      </c>
      <c r="C16" s="15">
        <v>1</v>
      </c>
      <c r="D16" s="18">
        <v>619</v>
      </c>
      <c r="E16" s="18">
        <f>C16*D16</f>
        <v>619</v>
      </c>
      <c r="F16" s="30" t="b">
        <v>1</v>
      </c>
      <c r="G16" s="30" t="b">
        <v>1</v>
      </c>
      <c r="H16" s="30" t="b">
        <v>1</v>
      </c>
      <c r="I16" s="30" t="b">
        <v>1</v>
      </c>
      <c r="J16" s="31" t="s">
        <v>68</v>
      </c>
    </row>
    <row r="17" spans="1:9" x14ac:dyDescent="0.25">
      <c r="A17" s="15" t="s">
        <v>48</v>
      </c>
      <c r="B17" s="15"/>
      <c r="C17" s="15"/>
      <c r="D17" s="25">
        <v>0</v>
      </c>
      <c r="E17" s="18">
        <f>D17</f>
        <v>0</v>
      </c>
    </row>
    <row r="18" spans="1:9" x14ac:dyDescent="0.25">
      <c r="A18" s="21"/>
      <c r="B18" s="21"/>
      <c r="C18" s="21"/>
      <c r="D18" s="23" t="s">
        <v>50</v>
      </c>
      <c r="E18" s="22">
        <f>SUM(E14:E17)</f>
        <v>895</v>
      </c>
    </row>
    <row r="19" spans="1:9" x14ac:dyDescent="0.25">
      <c r="A19" s="37" t="s">
        <v>54</v>
      </c>
      <c r="B19" s="37"/>
      <c r="C19" s="37"/>
      <c r="D19" s="37"/>
      <c r="E19" s="37"/>
    </row>
    <row r="20" spans="1:9" x14ac:dyDescent="0.25">
      <c r="A20" s="15" t="s">
        <v>55</v>
      </c>
      <c r="B20" s="15" t="s">
        <v>57</v>
      </c>
      <c r="C20" s="15"/>
      <c r="D20" s="24">
        <v>200</v>
      </c>
      <c r="E20" s="24">
        <f>D20</f>
        <v>200</v>
      </c>
      <c r="F20" s="30" t="b">
        <v>1</v>
      </c>
      <c r="G20" s="30" t="b">
        <v>1</v>
      </c>
      <c r="H20" s="30" t="b">
        <v>1</v>
      </c>
      <c r="I20" s="30" t="b">
        <v>1</v>
      </c>
    </row>
    <row r="21" spans="1:9" x14ac:dyDescent="0.25">
      <c r="A21" s="15" t="s">
        <v>58</v>
      </c>
      <c r="B21" s="15" t="s">
        <v>57</v>
      </c>
      <c r="C21" s="15"/>
      <c r="D21" s="24">
        <v>10</v>
      </c>
      <c r="E21" s="24">
        <f>D21</f>
        <v>10</v>
      </c>
      <c r="F21" s="30" t="b">
        <v>1</v>
      </c>
      <c r="G21" s="30" t="b">
        <v>1</v>
      </c>
      <c r="H21" s="30" t="b">
        <v>1</v>
      </c>
      <c r="I21" s="30" t="b">
        <v>1</v>
      </c>
    </row>
    <row r="22" spans="1:9" x14ac:dyDescent="0.25">
      <c r="A22" s="15" t="s">
        <v>56</v>
      </c>
      <c r="B22" s="15"/>
      <c r="C22" s="15"/>
      <c r="D22" s="24">
        <v>150</v>
      </c>
      <c r="E22" s="24">
        <f t="shared" ref="E22:E26" si="1">D22</f>
        <v>150</v>
      </c>
      <c r="F22" s="30" t="b">
        <v>1</v>
      </c>
      <c r="G22" s="30" t="b">
        <v>1</v>
      </c>
      <c r="H22" s="30" t="b">
        <v>1</v>
      </c>
      <c r="I22" s="30" t="b">
        <v>1</v>
      </c>
    </row>
    <row r="23" spans="1:9" x14ac:dyDescent="0.25">
      <c r="A23" s="15" t="s">
        <v>59</v>
      </c>
      <c r="B23" s="15"/>
      <c r="C23" s="15"/>
      <c r="D23" s="24">
        <v>10</v>
      </c>
      <c r="E23" s="24">
        <f t="shared" si="1"/>
        <v>10</v>
      </c>
      <c r="F23" s="30" t="b">
        <v>1</v>
      </c>
      <c r="G23" s="30" t="b">
        <v>1</v>
      </c>
      <c r="H23" s="30" t="b">
        <v>1</v>
      </c>
      <c r="I23" s="30" t="b">
        <v>1</v>
      </c>
    </row>
    <row r="24" spans="1:9" x14ac:dyDescent="0.25">
      <c r="A24" s="15" t="s">
        <v>73</v>
      </c>
      <c r="B24" s="15"/>
      <c r="C24" s="15"/>
      <c r="D24" s="24">
        <v>484.15</v>
      </c>
      <c r="E24" s="24">
        <v>484.15</v>
      </c>
      <c r="F24" s="30" t="b">
        <v>0</v>
      </c>
      <c r="G24" s="30" t="b">
        <v>0</v>
      </c>
      <c r="H24" s="30" t="b">
        <v>0</v>
      </c>
      <c r="I24" s="30" t="b">
        <v>0</v>
      </c>
    </row>
    <row r="25" spans="1:9" x14ac:dyDescent="0.25">
      <c r="A25" s="15" t="s">
        <v>72</v>
      </c>
      <c r="B25" s="15" t="s">
        <v>71</v>
      </c>
      <c r="C25" s="15"/>
      <c r="D25" s="24">
        <v>484.15</v>
      </c>
      <c r="E25" s="24">
        <f t="shared" si="1"/>
        <v>484.15</v>
      </c>
      <c r="F25" s="30" t="b">
        <v>1</v>
      </c>
      <c r="G25" s="30" t="b">
        <v>1</v>
      </c>
      <c r="H25" s="30" t="b">
        <v>1</v>
      </c>
      <c r="I25" s="30" t="b">
        <v>1</v>
      </c>
    </row>
    <row r="26" spans="1:9" x14ac:dyDescent="0.25">
      <c r="A26" s="15" t="s">
        <v>60</v>
      </c>
      <c r="B26" s="15"/>
      <c r="C26" s="15"/>
      <c r="D26" s="24">
        <v>400</v>
      </c>
      <c r="E26" s="24">
        <f t="shared" si="1"/>
        <v>400</v>
      </c>
      <c r="F26" s="30" t="b">
        <v>1</v>
      </c>
      <c r="G26" s="30" t="b">
        <v>1</v>
      </c>
      <c r="H26" s="30" t="b">
        <v>1</v>
      </c>
      <c r="I26" s="30" t="b">
        <v>1</v>
      </c>
    </row>
    <row r="27" spans="1:9" x14ac:dyDescent="0.25">
      <c r="A27" s="21"/>
      <c r="B27" s="21"/>
      <c r="C27" s="21"/>
      <c r="D27" s="23" t="s">
        <v>50</v>
      </c>
      <c r="E27" s="22">
        <f>SUM(E20:E26)</f>
        <v>1738.3</v>
      </c>
    </row>
    <row r="28" spans="1:9" x14ac:dyDescent="0.25">
      <c r="A28" s="38" t="s">
        <v>8</v>
      </c>
      <c r="B28" s="38"/>
      <c r="C28" s="38"/>
      <c r="D28" s="38"/>
      <c r="E28" s="26">
        <f>SUM(E7,E12,E18,E27)</f>
        <v>3970.17</v>
      </c>
    </row>
    <row r="30" spans="1:9" x14ac:dyDescent="0.25">
      <c r="A30" t="s">
        <v>62</v>
      </c>
      <c r="B30" s="27">
        <f>6000-E28</f>
        <v>2029.83</v>
      </c>
    </row>
  </sheetData>
  <mergeCells count="5">
    <mergeCell ref="A2:E2"/>
    <mergeCell ref="A8:E8"/>
    <mergeCell ref="A13:E13"/>
    <mergeCell ref="A19:E19"/>
    <mergeCell ref="A28:D28"/>
  </mergeCells>
  <hyperlinks>
    <hyperlink ref="J16" r:id="rId1" xr:uid="{00A7EDB6-7B9B-49F2-9EDC-D6978BFE7F36}"/>
  </hyperlinks>
  <pageMargins left="0.7" right="0.7" top="0.75" bottom="0.75" header="0.3" footer="0.3"/>
  <pageSetup scale="72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213F-1A65-418D-8044-9E068E8B86C5}">
  <dimension ref="A1:J33"/>
  <sheetViews>
    <sheetView topLeftCell="A24" workbookViewId="0">
      <selection activeCell="N25" sqref="N25"/>
    </sheetView>
  </sheetViews>
  <sheetFormatPr defaultRowHeight="15" x14ac:dyDescent="0.25"/>
  <cols>
    <col min="1" max="1" width="13.28515625" customWidth="1"/>
    <col min="2" max="2" width="4" customWidth="1"/>
    <col min="3" max="3" width="9.140625" customWidth="1"/>
    <col min="4" max="4" width="8.42578125" customWidth="1"/>
    <col min="5" max="5" width="7.140625" customWidth="1"/>
    <col min="6" max="6" width="8.85546875" customWidth="1"/>
    <col min="7" max="7" width="3.28515625" customWidth="1"/>
    <col min="8" max="8" width="7" customWidth="1"/>
    <col min="9" max="9" width="11" customWidth="1"/>
    <col min="10" max="10" width="8" customWidth="1"/>
  </cols>
  <sheetData>
    <row r="1" spans="1:10" x14ac:dyDescent="0.25">
      <c r="A1" s="39" t="s">
        <v>0</v>
      </c>
      <c r="B1" s="39" t="s">
        <v>1</v>
      </c>
      <c r="C1" s="39"/>
      <c r="D1" s="39" t="s">
        <v>2</v>
      </c>
      <c r="E1" s="39" t="s">
        <v>3</v>
      </c>
      <c r="F1" s="39" t="s">
        <v>4</v>
      </c>
      <c r="G1" s="39" t="s">
        <v>5</v>
      </c>
      <c r="H1" s="39"/>
      <c r="I1" s="6" t="s">
        <v>5</v>
      </c>
      <c r="J1" s="39" t="s">
        <v>8</v>
      </c>
    </row>
    <row r="2" spans="1:10" x14ac:dyDescent="0.25">
      <c r="A2" s="39"/>
      <c r="B2" s="39"/>
      <c r="C2" s="39"/>
      <c r="D2" s="39"/>
      <c r="E2" s="39"/>
      <c r="F2" s="39"/>
      <c r="G2" s="39" t="s">
        <v>6</v>
      </c>
      <c r="H2" s="39"/>
      <c r="I2" s="6" t="s">
        <v>7</v>
      </c>
      <c r="J2" s="39"/>
    </row>
    <row r="3" spans="1:10" x14ac:dyDescent="0.25">
      <c r="A3" s="1"/>
      <c r="B3" s="1" t="s">
        <v>9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9</v>
      </c>
      <c r="H3" s="1" t="s">
        <v>10</v>
      </c>
      <c r="I3" s="1" t="s">
        <v>10</v>
      </c>
      <c r="J3" s="1" t="s">
        <v>10</v>
      </c>
    </row>
    <row r="4" spans="1:10" ht="30" x14ac:dyDescent="0.25">
      <c r="A4" s="5" t="s">
        <v>11</v>
      </c>
      <c r="B4" s="2">
        <v>25</v>
      </c>
      <c r="C4" s="2">
        <f>B4*500</f>
        <v>12500</v>
      </c>
      <c r="D4" s="2"/>
      <c r="E4" s="2"/>
      <c r="F4" s="2"/>
      <c r="G4" s="2"/>
      <c r="H4" s="2"/>
      <c r="I4" s="2"/>
      <c r="J4" s="2">
        <f>SUM(C4:F4,H4,I4)</f>
        <v>12500</v>
      </c>
    </row>
    <row r="5" spans="1:10" ht="28.5" customHeight="1" x14ac:dyDescent="0.25">
      <c r="A5" s="5" t="s">
        <v>13</v>
      </c>
      <c r="B5" s="2">
        <v>30</v>
      </c>
      <c r="C5" s="2">
        <f t="shared" ref="C5:C15" si="0">B5*500</f>
        <v>15000</v>
      </c>
      <c r="D5" s="2"/>
      <c r="E5" s="2"/>
      <c r="F5" s="2"/>
      <c r="G5" s="2"/>
      <c r="H5" s="2"/>
      <c r="I5" s="2"/>
      <c r="J5" s="2">
        <f t="shared" ref="J5:J15" si="1">SUM(C5:F5,H5,I5)</f>
        <v>15000</v>
      </c>
    </row>
    <row r="6" spans="1:10" ht="45" x14ac:dyDescent="0.25">
      <c r="A6" s="5" t="s">
        <v>12</v>
      </c>
      <c r="B6" s="2">
        <v>20</v>
      </c>
      <c r="C6" s="2">
        <f t="shared" si="0"/>
        <v>10000</v>
      </c>
      <c r="D6" s="2"/>
      <c r="E6" s="2"/>
      <c r="F6" s="2"/>
      <c r="G6" s="2"/>
      <c r="H6" s="2"/>
      <c r="I6" s="2"/>
      <c r="J6" s="2">
        <f t="shared" si="1"/>
        <v>10000</v>
      </c>
    </row>
    <row r="7" spans="1:10" ht="60" x14ac:dyDescent="0.25">
      <c r="A7" s="5" t="s">
        <v>14</v>
      </c>
      <c r="B7" s="2">
        <v>80</v>
      </c>
      <c r="C7" s="2">
        <f t="shared" si="0"/>
        <v>40000</v>
      </c>
      <c r="D7" s="2">
        <v>250</v>
      </c>
      <c r="E7" s="2"/>
      <c r="F7" s="2"/>
      <c r="G7" s="2"/>
      <c r="H7" s="2"/>
      <c r="I7" s="2"/>
      <c r="J7" s="2">
        <f t="shared" si="1"/>
        <v>40250</v>
      </c>
    </row>
    <row r="8" spans="1:10" ht="60" x14ac:dyDescent="0.25">
      <c r="A8" s="5" t="s">
        <v>15</v>
      </c>
      <c r="B8" s="2">
        <v>70</v>
      </c>
      <c r="C8" s="2">
        <f t="shared" si="0"/>
        <v>35000</v>
      </c>
      <c r="D8" s="2">
        <v>500</v>
      </c>
      <c r="E8" s="2"/>
      <c r="F8" s="2"/>
      <c r="G8" s="2"/>
      <c r="H8" s="2"/>
      <c r="I8" s="2"/>
      <c r="J8" s="2">
        <f t="shared" si="1"/>
        <v>35500</v>
      </c>
    </row>
    <row r="9" spans="1:10" ht="45" x14ac:dyDescent="0.25">
      <c r="A9" s="5" t="s">
        <v>16</v>
      </c>
      <c r="B9" s="2">
        <v>10</v>
      </c>
      <c r="C9" s="2">
        <f t="shared" si="0"/>
        <v>5000</v>
      </c>
      <c r="D9" s="2"/>
      <c r="E9" s="2"/>
      <c r="F9" s="2"/>
      <c r="G9" s="2"/>
      <c r="H9" s="2"/>
      <c r="I9" s="2"/>
      <c r="J9" s="2">
        <f t="shared" si="1"/>
        <v>5000</v>
      </c>
    </row>
    <row r="10" spans="1:10" ht="30" x14ac:dyDescent="0.25">
      <c r="A10" s="5" t="s">
        <v>17</v>
      </c>
      <c r="B10" s="2">
        <v>5</v>
      </c>
      <c r="C10" s="2">
        <f t="shared" si="0"/>
        <v>2500</v>
      </c>
      <c r="D10" s="2"/>
      <c r="E10" s="2"/>
      <c r="F10" s="2"/>
      <c r="G10" s="2"/>
      <c r="H10" s="2"/>
      <c r="I10" s="2"/>
      <c r="J10" s="2">
        <f t="shared" si="1"/>
        <v>2500</v>
      </c>
    </row>
    <row r="11" spans="1:10" ht="45" x14ac:dyDescent="0.25">
      <c r="A11" s="5" t="s">
        <v>18</v>
      </c>
      <c r="B11" s="2">
        <v>80</v>
      </c>
      <c r="C11" s="2">
        <f t="shared" si="0"/>
        <v>40000</v>
      </c>
      <c r="D11" s="2">
        <v>500</v>
      </c>
      <c r="E11" s="2"/>
      <c r="F11" s="2"/>
      <c r="G11" s="2"/>
      <c r="H11" s="2"/>
      <c r="I11" s="2"/>
      <c r="J11" s="2">
        <f t="shared" si="1"/>
        <v>40500</v>
      </c>
    </row>
    <row r="12" spans="1:10" ht="30" x14ac:dyDescent="0.25">
      <c r="A12" s="5" t="s">
        <v>19</v>
      </c>
      <c r="B12" s="2">
        <v>20</v>
      </c>
      <c r="C12" s="2">
        <f t="shared" si="0"/>
        <v>10000</v>
      </c>
      <c r="D12" s="2">
        <v>1000</v>
      </c>
      <c r="E12" s="2"/>
      <c r="F12" s="2"/>
      <c r="G12" s="2">
        <v>25</v>
      </c>
      <c r="H12" s="2">
        <f>G12*300</f>
        <v>7500</v>
      </c>
      <c r="I12" s="2">
        <v>500</v>
      </c>
      <c r="J12" s="2">
        <f t="shared" si="1"/>
        <v>19000</v>
      </c>
    </row>
    <row r="13" spans="1:10" ht="30" x14ac:dyDescent="0.25">
      <c r="A13" s="5" t="s">
        <v>20</v>
      </c>
      <c r="B13" s="2">
        <v>30</v>
      </c>
      <c r="C13" s="2">
        <f t="shared" si="0"/>
        <v>15000</v>
      </c>
      <c r="D13" s="2">
        <v>200</v>
      </c>
      <c r="E13" s="2">
        <v>200</v>
      </c>
      <c r="F13" s="2">
        <v>500</v>
      </c>
      <c r="G13" s="2">
        <v>10</v>
      </c>
      <c r="H13" s="2">
        <f>G13*300</f>
        <v>3000</v>
      </c>
      <c r="I13" s="2"/>
      <c r="J13" s="2">
        <f t="shared" si="1"/>
        <v>18900</v>
      </c>
    </row>
    <row r="14" spans="1:10" ht="75" x14ac:dyDescent="0.25">
      <c r="A14" s="5" t="s">
        <v>22</v>
      </c>
      <c r="B14" s="2">
        <v>50</v>
      </c>
      <c r="C14" s="2">
        <f t="shared" si="0"/>
        <v>25000</v>
      </c>
      <c r="D14" s="2">
        <v>1000</v>
      </c>
      <c r="E14" s="2">
        <v>200</v>
      </c>
      <c r="F14" s="2"/>
      <c r="G14" s="2"/>
      <c r="H14" s="2"/>
      <c r="I14" s="2"/>
      <c r="J14" s="2">
        <f t="shared" si="1"/>
        <v>26200</v>
      </c>
    </row>
    <row r="15" spans="1:10" ht="30" x14ac:dyDescent="0.25">
      <c r="A15" s="5" t="s">
        <v>21</v>
      </c>
      <c r="B15" s="2">
        <v>100</v>
      </c>
      <c r="C15" s="2">
        <f t="shared" si="0"/>
        <v>50000</v>
      </c>
      <c r="D15" s="2">
        <v>50</v>
      </c>
      <c r="E15" s="2"/>
      <c r="F15" s="2"/>
      <c r="G15" s="2"/>
      <c r="H15" s="2"/>
      <c r="I15" s="2"/>
      <c r="J15" s="2">
        <f t="shared" si="1"/>
        <v>50050</v>
      </c>
    </row>
    <row r="16" spans="1:10" x14ac:dyDescent="0.25">
      <c r="A16" s="3" t="s">
        <v>8</v>
      </c>
      <c r="B16" s="4">
        <f>SUM(B4:B15)</f>
        <v>520</v>
      </c>
      <c r="C16" s="4">
        <f>SUM(C4:C15)</f>
        <v>260000</v>
      </c>
      <c r="D16" s="4">
        <f t="shared" ref="D16:I16" si="2">SUM(D4:D15)</f>
        <v>3500</v>
      </c>
      <c r="E16" s="4">
        <f t="shared" si="2"/>
        <v>400</v>
      </c>
      <c r="F16" s="4">
        <f t="shared" si="2"/>
        <v>500</v>
      </c>
      <c r="G16" s="4">
        <f t="shared" si="2"/>
        <v>35</v>
      </c>
      <c r="H16" s="4">
        <f t="shared" si="2"/>
        <v>10500</v>
      </c>
      <c r="I16" s="4">
        <f t="shared" si="2"/>
        <v>500</v>
      </c>
      <c r="J16" s="4">
        <f>SUM(J4:J15)</f>
        <v>275400</v>
      </c>
    </row>
    <row r="18" spans="1:10" x14ac:dyDescent="0.25">
      <c r="A18" s="39" t="s">
        <v>0</v>
      </c>
      <c r="B18" s="39" t="s">
        <v>1</v>
      </c>
      <c r="C18" s="39"/>
      <c r="D18" s="39" t="s">
        <v>2</v>
      </c>
      <c r="E18" s="39" t="s">
        <v>3</v>
      </c>
      <c r="F18" s="39" t="s">
        <v>4</v>
      </c>
      <c r="G18" s="39" t="s">
        <v>5</v>
      </c>
      <c r="H18" s="39"/>
      <c r="I18" s="6" t="s">
        <v>5</v>
      </c>
      <c r="J18" s="39" t="s">
        <v>8</v>
      </c>
    </row>
    <row r="19" spans="1:10" x14ac:dyDescent="0.25">
      <c r="A19" s="39"/>
      <c r="B19" s="39"/>
      <c r="C19" s="39"/>
      <c r="D19" s="39"/>
      <c r="E19" s="39"/>
      <c r="F19" s="39"/>
      <c r="G19" s="39" t="s">
        <v>6</v>
      </c>
      <c r="H19" s="39"/>
      <c r="I19" s="6" t="s">
        <v>7</v>
      </c>
      <c r="J19" s="39"/>
    </row>
    <row r="20" spans="1:10" x14ac:dyDescent="0.25">
      <c r="A20" s="1"/>
      <c r="B20" s="1" t="s">
        <v>9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9</v>
      </c>
      <c r="H20" s="1" t="s">
        <v>10</v>
      </c>
      <c r="I20" s="1" t="s">
        <v>10</v>
      </c>
      <c r="J20" s="1" t="s">
        <v>10</v>
      </c>
    </row>
    <row r="21" spans="1:10" ht="30" x14ac:dyDescent="0.25">
      <c r="A21" s="5" t="s">
        <v>11</v>
      </c>
      <c r="B21" s="2">
        <v>25</v>
      </c>
      <c r="C21" s="2">
        <v>0</v>
      </c>
      <c r="D21" s="2"/>
      <c r="E21" s="2"/>
      <c r="F21" s="2"/>
      <c r="G21" s="2"/>
      <c r="H21" s="2"/>
      <c r="I21" s="2"/>
      <c r="J21" s="2">
        <f>SUM(C21:F21,H21,I21)</f>
        <v>0</v>
      </c>
    </row>
    <row r="22" spans="1:10" ht="60" x14ac:dyDescent="0.25">
      <c r="A22" s="5" t="s">
        <v>13</v>
      </c>
      <c r="B22" s="2">
        <v>30</v>
      </c>
      <c r="C22" s="2">
        <v>0</v>
      </c>
      <c r="D22" s="2"/>
      <c r="E22" s="2"/>
      <c r="F22" s="2"/>
      <c r="G22" s="2"/>
      <c r="H22" s="2"/>
      <c r="I22" s="2"/>
      <c r="J22" s="2">
        <f t="shared" ref="J22:J32" si="3">SUM(C22:F22,H22,I22)</f>
        <v>0</v>
      </c>
    </row>
    <row r="23" spans="1:10" ht="45" x14ac:dyDescent="0.25">
      <c r="A23" s="5" t="s">
        <v>12</v>
      </c>
      <c r="B23" s="2">
        <v>20</v>
      </c>
      <c r="C23" s="2">
        <v>0</v>
      </c>
      <c r="D23" s="2"/>
      <c r="E23" s="2"/>
      <c r="F23" s="2"/>
      <c r="G23" s="2"/>
      <c r="H23" s="2"/>
      <c r="I23" s="2"/>
      <c r="J23" s="2">
        <f t="shared" si="3"/>
        <v>0</v>
      </c>
    </row>
    <row r="24" spans="1:10" ht="60" x14ac:dyDescent="0.25">
      <c r="A24" s="5" t="s">
        <v>14</v>
      </c>
      <c r="B24" s="2">
        <v>80</v>
      </c>
      <c r="C24" s="2">
        <v>0</v>
      </c>
      <c r="D24" s="2">
        <v>0</v>
      </c>
      <c r="E24" s="2"/>
      <c r="F24" s="2"/>
      <c r="G24" s="2"/>
      <c r="H24" s="2"/>
      <c r="I24" s="2"/>
      <c r="J24" s="2">
        <f t="shared" si="3"/>
        <v>0</v>
      </c>
    </row>
    <row r="25" spans="1:10" ht="60" x14ac:dyDescent="0.25">
      <c r="A25" s="5" t="s">
        <v>15</v>
      </c>
      <c r="B25" s="2">
        <v>70</v>
      </c>
      <c r="C25" s="2">
        <v>0</v>
      </c>
      <c r="D25" s="2">
        <v>100</v>
      </c>
      <c r="E25" s="2"/>
      <c r="F25" s="2"/>
      <c r="G25" s="2"/>
      <c r="H25" s="2"/>
      <c r="I25" s="2"/>
      <c r="J25" s="2">
        <f t="shared" si="3"/>
        <v>100</v>
      </c>
    </row>
    <row r="26" spans="1:10" ht="45" x14ac:dyDescent="0.25">
      <c r="A26" s="5" t="s">
        <v>16</v>
      </c>
      <c r="B26" s="2">
        <v>10</v>
      </c>
      <c r="C26" s="2">
        <v>0</v>
      </c>
      <c r="D26" s="2"/>
      <c r="E26" s="2"/>
      <c r="F26" s="2"/>
      <c r="G26" s="2"/>
      <c r="H26" s="2"/>
      <c r="I26" s="2"/>
      <c r="J26" s="2">
        <f t="shared" si="3"/>
        <v>0</v>
      </c>
    </row>
    <row r="27" spans="1:10" ht="30" x14ac:dyDescent="0.25">
      <c r="A27" s="5" t="s">
        <v>17</v>
      </c>
      <c r="B27" s="2">
        <v>5</v>
      </c>
      <c r="C27" s="2">
        <v>0</v>
      </c>
      <c r="D27" s="2"/>
      <c r="E27" s="2"/>
      <c r="F27" s="2"/>
      <c r="G27" s="2"/>
      <c r="H27" s="2"/>
      <c r="I27" s="2"/>
      <c r="J27" s="2">
        <f t="shared" si="3"/>
        <v>0</v>
      </c>
    </row>
    <row r="28" spans="1:10" ht="45" x14ac:dyDescent="0.25">
      <c r="A28" s="5" t="s">
        <v>18</v>
      </c>
      <c r="B28" s="2">
        <v>80</v>
      </c>
      <c r="C28" s="2">
        <v>0</v>
      </c>
      <c r="D28" s="2">
        <v>250</v>
      </c>
      <c r="E28" s="2"/>
      <c r="F28" s="2"/>
      <c r="G28" s="2"/>
      <c r="H28" s="2"/>
      <c r="I28" s="2"/>
      <c r="J28" s="2">
        <f t="shared" si="3"/>
        <v>250</v>
      </c>
    </row>
    <row r="29" spans="1:10" ht="30" x14ac:dyDescent="0.25">
      <c r="A29" s="5" t="s">
        <v>19</v>
      </c>
      <c r="B29" s="2">
        <v>20</v>
      </c>
      <c r="C29" s="2">
        <v>0</v>
      </c>
      <c r="D29" s="2">
        <v>500</v>
      </c>
      <c r="E29" s="2"/>
      <c r="F29" s="2"/>
      <c r="G29" s="2">
        <v>2</v>
      </c>
      <c r="H29" s="2">
        <v>500</v>
      </c>
      <c r="I29" s="2">
        <v>500</v>
      </c>
      <c r="J29" s="2">
        <f t="shared" si="3"/>
        <v>1500</v>
      </c>
    </row>
    <row r="30" spans="1:10" ht="30" x14ac:dyDescent="0.25">
      <c r="A30" s="5" t="s">
        <v>20</v>
      </c>
      <c r="B30" s="2">
        <v>30</v>
      </c>
      <c r="C30" s="2">
        <v>0</v>
      </c>
      <c r="D30" s="2">
        <v>200</v>
      </c>
      <c r="E30" s="2">
        <v>200</v>
      </c>
      <c r="F30" s="2">
        <v>500</v>
      </c>
      <c r="G30" s="2">
        <v>0</v>
      </c>
      <c r="H30" s="2">
        <v>0</v>
      </c>
      <c r="I30" s="2"/>
      <c r="J30" s="2">
        <f t="shared" si="3"/>
        <v>900</v>
      </c>
    </row>
    <row r="31" spans="1:10" ht="75" x14ac:dyDescent="0.25">
      <c r="A31" s="5" t="s">
        <v>22</v>
      </c>
      <c r="B31" s="2">
        <v>50</v>
      </c>
      <c r="C31" s="2">
        <v>0</v>
      </c>
      <c r="D31" s="2">
        <v>250</v>
      </c>
      <c r="E31" s="2">
        <v>200</v>
      </c>
      <c r="F31" s="2"/>
      <c r="G31" s="2"/>
      <c r="H31" s="2"/>
      <c r="I31" s="2"/>
      <c r="J31" s="2">
        <f t="shared" si="3"/>
        <v>450</v>
      </c>
    </row>
    <row r="32" spans="1:10" ht="30" x14ac:dyDescent="0.25">
      <c r="A32" s="5" t="s">
        <v>21</v>
      </c>
      <c r="B32" s="2">
        <v>100</v>
      </c>
      <c r="C32" s="2">
        <v>0</v>
      </c>
      <c r="D32" s="2">
        <v>50</v>
      </c>
      <c r="E32" s="2"/>
      <c r="F32" s="2"/>
      <c r="G32" s="2"/>
      <c r="H32" s="2"/>
      <c r="I32" s="2"/>
      <c r="J32" s="2">
        <f t="shared" si="3"/>
        <v>50</v>
      </c>
    </row>
    <row r="33" spans="1:10" x14ac:dyDescent="0.25">
      <c r="A33" s="3" t="s">
        <v>8</v>
      </c>
      <c r="B33" s="4">
        <f>SUM(B21:B32)</f>
        <v>520</v>
      </c>
      <c r="C33" s="4">
        <f>SUM(C21:C32)</f>
        <v>0</v>
      </c>
      <c r="D33" s="4">
        <f t="shared" ref="D33:I33" si="4">SUM(D21:D32)</f>
        <v>1350</v>
      </c>
      <c r="E33" s="4">
        <f t="shared" si="4"/>
        <v>400</v>
      </c>
      <c r="F33" s="4">
        <f t="shared" si="4"/>
        <v>500</v>
      </c>
      <c r="G33" s="4">
        <f t="shared" si="4"/>
        <v>2</v>
      </c>
      <c r="H33" s="4">
        <f t="shared" si="4"/>
        <v>500</v>
      </c>
      <c r="I33" s="4">
        <f t="shared" si="4"/>
        <v>500</v>
      </c>
      <c r="J33" s="4">
        <f>SUM(J21:J32)</f>
        <v>3250</v>
      </c>
    </row>
  </sheetData>
  <mergeCells count="16">
    <mergeCell ref="G18:H18"/>
    <mergeCell ref="J18:J19"/>
    <mergeCell ref="G19:H19"/>
    <mergeCell ref="A18:A19"/>
    <mergeCell ref="B18:C19"/>
    <mergeCell ref="D18:D19"/>
    <mergeCell ref="E18:E19"/>
    <mergeCell ref="F18:F19"/>
    <mergeCell ref="J1:J2"/>
    <mergeCell ref="G1:H1"/>
    <mergeCell ref="G2:H2"/>
    <mergeCell ref="A1:A2"/>
    <mergeCell ref="B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Gannt</vt:lpstr>
      <vt:lpstr>Component cost tracker</vt:lpstr>
      <vt:lpstr>Cost</vt:lpstr>
      <vt:lpstr>Gannt!Print_Area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Blanchè, C, Miss [25929291@sun.ac.za]</dc:creator>
  <cp:lastModifiedBy>C Blanche</cp:lastModifiedBy>
  <cp:lastPrinted>2026-10-22T08:29:27Z</cp:lastPrinted>
  <dcterms:created xsi:type="dcterms:W3CDTF">2026-03-09T12:08:30Z</dcterms:created>
  <dcterms:modified xsi:type="dcterms:W3CDTF">2026-10-22T08:31:58Z</dcterms:modified>
</cp:coreProperties>
</file>